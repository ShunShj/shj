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\text_erp\erp_develop\"/>
    </mc:Choice>
  </mc:AlternateContent>
  <xr:revisionPtr revIDLastSave="0" documentId="13_ncr:1_{81BAFEF4-C0AB-4FE8-88C8-16057F5A4484}" xr6:coauthVersionLast="45" xr6:coauthVersionMax="45" xr10:uidLastSave="{00000000-0000-0000-0000-000000000000}"/>
  <bookViews>
    <workbookView xWindow="-120" yWindow="-120" windowWidth="20730" windowHeight="11160" xr2:uid="{DC22FB27-C393-47E6-B485-176A585653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3" i="1" l="1"/>
  <c r="N3" i="1" s="1"/>
  <c r="K3" i="1"/>
  <c r="Q3" i="1"/>
  <c r="T3" i="1"/>
  <c r="Y3" i="1"/>
  <c r="H4" i="1"/>
  <c r="K4" i="1"/>
  <c r="Q4" i="1"/>
  <c r="T4" i="1"/>
  <c r="AE4" i="1" s="1"/>
  <c r="AG4" i="1" s="1"/>
  <c r="Y4" i="1"/>
  <c r="H5" i="1"/>
  <c r="K5" i="1"/>
  <c r="Q5" i="1"/>
  <c r="T5" i="1"/>
  <c r="Y5" i="1"/>
  <c r="H6" i="1"/>
  <c r="K6" i="1"/>
  <c r="N6" i="1" s="1"/>
  <c r="Q6" i="1"/>
  <c r="T6" i="1"/>
  <c r="Y6" i="1"/>
  <c r="H7" i="1"/>
  <c r="N7" i="1" s="1"/>
  <c r="K7" i="1"/>
  <c r="Q7" i="1"/>
  <c r="T7" i="1"/>
  <c r="Y7" i="1"/>
  <c r="H8" i="1"/>
  <c r="N8" i="1" s="1"/>
  <c r="K8" i="1"/>
  <c r="Q8" i="1"/>
  <c r="T8" i="1"/>
  <c r="Y8" i="1"/>
  <c r="H9" i="1"/>
  <c r="K9" i="1"/>
  <c r="Q9" i="1"/>
  <c r="T9" i="1"/>
  <c r="Y9" i="1"/>
  <c r="H10" i="1"/>
  <c r="O10" i="1" s="1"/>
  <c r="K10" i="1"/>
  <c r="Q10" i="1"/>
  <c r="T10" i="1"/>
  <c r="Y10" i="1"/>
  <c r="H11" i="1"/>
  <c r="K11" i="1"/>
  <c r="O11" i="1" s="1"/>
  <c r="Q11" i="1"/>
  <c r="T11" i="1"/>
  <c r="Y11" i="1"/>
  <c r="H12" i="1"/>
  <c r="K12" i="1"/>
  <c r="Q12" i="1"/>
  <c r="T12" i="1"/>
  <c r="Y12" i="1"/>
  <c r="H13" i="1"/>
  <c r="K13" i="1"/>
  <c r="Q13" i="1"/>
  <c r="T13" i="1"/>
  <c r="Y13" i="1"/>
  <c r="Y2" i="1"/>
  <c r="T2" i="1"/>
  <c r="Q2" i="1"/>
  <c r="K2" i="1"/>
  <c r="O2" i="1" s="1"/>
  <c r="H2" i="1"/>
  <c r="AE2" i="1" s="1"/>
  <c r="AG2" i="1" s="1"/>
  <c r="N11" i="1" l="1"/>
  <c r="AE10" i="1"/>
  <c r="AG10" i="1" s="1"/>
  <c r="O5" i="1"/>
  <c r="O4" i="1"/>
  <c r="O13" i="1"/>
  <c r="O12" i="1"/>
  <c r="N12" i="1"/>
  <c r="N10" i="1"/>
  <c r="O7" i="1"/>
  <c r="N2" i="1"/>
  <c r="AE7" i="1"/>
  <c r="AG7" i="1" s="1"/>
  <c r="AE11" i="1"/>
  <c r="AG11" i="1" s="1"/>
  <c r="O9" i="1"/>
  <c r="O8" i="1"/>
  <c r="AE6" i="1"/>
  <c r="AG6" i="1" s="1"/>
  <c r="O6" i="1"/>
  <c r="N4" i="1"/>
  <c r="O3" i="1"/>
  <c r="N13" i="1"/>
  <c r="AE12" i="1"/>
  <c r="AG12" i="1" s="1"/>
  <c r="N9" i="1"/>
  <c r="AE8" i="1"/>
  <c r="AG8" i="1" s="1"/>
  <c r="N5" i="1"/>
  <c r="AE3" i="1"/>
  <c r="AG3" i="1" s="1"/>
  <c r="AE13" i="1"/>
  <c r="AG13" i="1" s="1"/>
  <c r="AE9" i="1"/>
  <c r="AG9" i="1" s="1"/>
  <c r="AE5" i="1"/>
  <c r="AG5" i="1" s="1"/>
</calcChain>
</file>

<file path=xl/sharedStrings.xml><?xml version="1.0" encoding="utf-8"?>
<sst xmlns="http://schemas.openxmlformats.org/spreadsheetml/2006/main" count="41" uniqueCount="41">
  <si>
    <t>分公司</t>
  </si>
  <si>
    <t>年</t>
  </si>
  <si>
    <t>月</t>
    <phoneticPr fontId="1" type="noConversion"/>
  </si>
  <si>
    <t>员工人数</t>
    <phoneticPr fontId="1" type="noConversion"/>
  </si>
  <si>
    <t>收客人数</t>
    <phoneticPr fontId="1" type="noConversion"/>
  </si>
  <si>
    <t>订单金额</t>
    <phoneticPr fontId="1" type="noConversion"/>
  </si>
  <si>
    <t>主营业务收入</t>
  </si>
  <si>
    <t>外部收入</t>
  </si>
  <si>
    <t>内部结算收入</t>
  </si>
  <si>
    <t>主营业务成本</t>
  </si>
  <si>
    <t>外部成本</t>
    <phoneticPr fontId="1" type="noConversion"/>
  </si>
  <si>
    <t>内部结算成本</t>
  </si>
  <si>
    <t>毛利</t>
  </si>
  <si>
    <t>毛利率</t>
  </si>
  <si>
    <t>营业税金及附加</t>
  </si>
  <si>
    <t>销售费用</t>
  </si>
  <si>
    <t>佣金</t>
  </si>
  <si>
    <t>其他</t>
  </si>
  <si>
    <t>管理费用</t>
  </si>
  <si>
    <t>工资</t>
    <phoneticPr fontId="1" type="noConversion"/>
  </si>
  <si>
    <t>房租</t>
  </si>
  <si>
    <t>水电</t>
  </si>
  <si>
    <t>办公</t>
  </si>
  <si>
    <t>财务费用</t>
  </si>
  <si>
    <t>利息</t>
  </si>
  <si>
    <t>汇兑损益</t>
  </si>
  <si>
    <t>手续费</t>
  </si>
  <si>
    <t>营业外收入</t>
  </si>
  <si>
    <t>营业外支出</t>
  </si>
  <si>
    <t>利润总额</t>
    <phoneticPr fontId="1" type="noConversion"/>
  </si>
  <si>
    <t>所得税</t>
  </si>
  <si>
    <t>净利润</t>
  </si>
  <si>
    <t>01</t>
    <phoneticPr fontId="1" type="noConversion"/>
  </si>
  <si>
    <t>02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</si>
  <si>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</si>
  <si>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</si>
  <si>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</si>
  <si>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</si>
  <si>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</si>
  <si>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08</t>
    <phoneticPr fontId="1" type="noConversion"/>
  </si>
  <si>
    <t>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</si>
</sst>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7B9B-6D30-4268-87C8-F6A059F66C67}">
  <dimension ref="A1:AG13"/>
  <sheetViews>
    <sheetView tabSelected="1" workbookViewId="0">
      <selection activeCell="F21" sqref="F21"/>
    </sheetView>
  </sheetViews>
  <sheetFormatPr defaultRowHeight="14.25" x14ac:dyDescent="0.2"/>
  <cols>
    <col min="2" max="2" width="7.125" bestFit="1" customWidth="1"/>
    <col min="3" max="3" width="5.5" bestFit="1" customWidth="1"/>
    <col min="4" max="4" width="3.5" bestFit="1" customWidth="1"/>
    <col min="8" max="8" width="13" bestFit="1" customWidth="1"/>
    <col min="10" max="11" width="13" bestFit="1" customWidth="1"/>
    <col min="13" max="13" width="13" bestFit="1" customWidth="1"/>
    <col min="14" max="14" width="6.5" bestFit="1" customWidth="1"/>
    <col min="15" max="15" width="12.75" bestFit="1" customWidth="1"/>
    <col min="16" max="16" width="15.125" bestFit="1" customWidth="1"/>
    <col min="18" max="19" width="5.25" bestFit="1" customWidth="1"/>
    <col min="21" max="21" width="5.5" bestFit="1" customWidth="1"/>
    <col min="22" max="24" width="5.25" bestFit="1" customWidth="1"/>
    <col min="26" max="26" width="5.25" bestFit="1" customWidth="1"/>
    <col min="28" max="28" width="7.125" bestFit="1" customWidth="1"/>
    <col min="29" max="30" width="11" bestFit="1" customWidth="1"/>
    <col min="32" max="33" width="7.125" bestFit="1" customWidth="1"/>
  </cols>
  <sheetData>
    <row r="1" spans="1:3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t="s">
        <v>7</v>
      </c>
      <c r="J1" t="s">
        <v>8</v>
      </c>
      <c r="K1" s="1" t="s">
        <v>9</v>
      </c>
      <c r="L1" t="s">
        <v>10</v>
      </c>
      <c r="M1" t="s">
        <v>11</v>
      </c>
      <c r="N1" s="1" t="s">
        <v>12</v>
      </c>
      <c r="O1" s="1" t="s">
        <v>13</v>
      </c>
      <c r="P1" s="2" t="s">
        <v>14</v>
      </c>
      <c r="Q1" s="1" t="s">
        <v>15</v>
      </c>
      <c r="R1" t="s">
        <v>16</v>
      </c>
      <c r="S1" t="s">
        <v>17</v>
      </c>
      <c r="T1" s="1" t="s">
        <v>18</v>
      </c>
      <c r="U1" t="s">
        <v>19</v>
      </c>
      <c r="V1" t="s">
        <v>20</v>
      </c>
      <c r="W1" t="s">
        <v>21</v>
      </c>
      <c r="X1" t="s">
        <v>22</v>
      </c>
      <c r="Y1" s="1" t="s">
        <v>23</v>
      </c>
      <c r="Z1" t="s">
        <v>24</v>
      </c>
      <c r="AA1" t="s">
        <v>25</v>
      </c>
      <c r="AB1" t="s">
        <v>26</v>
      </c>
      <c r="AC1" s="2" t="s">
        <v>27</v>
      </c>
      <c r="AD1" s="2" t="s">
        <v>28</v>
      </c>
      <c r="AE1" s="1" t="s">
        <v>29</v>
      </c>
      <c r="AF1" t="s">
        <v>30</v>
      </c>
      <c r="AG1" s="1" t="s">
        <v>31</v>
      </c>
    </row>
    <row r="2" spans="1:33" x14ac:dyDescent="0.2">
      <c r="A2">
        <v>1</v>
      </c>
      <c r="B2">
        <v>3</v>
      </c>
      <c r="C2">
        <v>2019</v>
      </c>
      <c r="D2" s="3" t="s">
        <v>32</v>
      </c>
      <c r="E2">
        <v>20</v>
      </c>
      <c r="F2">
        <v>1000</v>
      </c>
      <c r="G2">
        <v>60000</v>
      </c>
      <c r="H2">
        <f>I2+J2</f>
        <v>1246</v>
      </c>
      <c r="I2">
        <v>123</v>
      </c>
      <c r="J2">
        <v>1123</v>
      </c>
      <c r="K2">
        <f>L2+M2</f>
        <v>7777</v>
      </c>
      <c r="L2">
        <v>4445</v>
      </c>
      <c r="M2">
        <v>3332</v>
      </c>
      <c r="N2">
        <f>H2-K2</f>
        <v>-6531</v>
      </c>
      <c r="O2">
        <f>K2/H2</f>
        <v>6.2415730337078648</v>
      </c>
      <c r="P2">
        <v>546</v>
      </c>
      <c r="Q2">
        <f>R2+S2</f>
        <v>377</v>
      </c>
      <c r="R2">
        <v>344</v>
      </c>
      <c r="S2">
        <v>33</v>
      </c>
      <c r="T2">
        <f>U2+V2+W2+X2</f>
        <v>2888</v>
      </c>
      <c r="U2">
        <v>2222</v>
      </c>
      <c r="V2">
        <v>222</v>
      </c>
      <c r="W2">
        <v>222</v>
      </c>
      <c r="X2">
        <v>222</v>
      </c>
      <c r="Y2">
        <f>Z2+AA2+AB2</f>
        <v>557</v>
      </c>
      <c r="Z2">
        <v>123</v>
      </c>
      <c r="AA2">
        <v>323</v>
      </c>
      <c r="AB2">
        <v>111</v>
      </c>
      <c r="AC2">
        <v>3333</v>
      </c>
      <c r="AD2">
        <v>1111</v>
      </c>
      <c r="AE2">
        <f>H2-K2-P2-Q2-T2-Y2+AC2-AD2</f>
        <v>-8677</v>
      </c>
      <c r="AF2">
        <v>333</v>
      </c>
      <c r="AG2">
        <f>AE2-AF2</f>
        <v>-9010</v>
      </c>
    </row>
    <row r="3" spans="1:33" x14ac:dyDescent="0.2">
      <c r="A3">
        <v>2</v>
      </c>
      <c r="B3">
        <v>3</v>
      </c>
      <c r="C3">
        <v>2019</v>
      </c>
      <c r="D3" s="3" t="s">
        <v>33</v>
      </c>
      <c r="E3">
        <v>20</v>
      </c>
      <c r="F3">
        <v>1000</v>
      </c>
      <c r="G3">
        <v>60000</v>
      </c>
      <c r="H3">
        <f t="shared" ref="H3:H13" si="0">I3+J3</f>
        <v>1246</v>
      </c>
      <c r="I3">
        <v>123</v>
      </c>
      <c r="J3">
        <v>1123</v>
      </c>
      <c r="K3">
        <f t="shared" ref="K3:K13" si="1">L3+M3</f>
        <v>7777</v>
      </c>
      <c r="L3">
        <v>4445</v>
      </c>
      <c r="M3">
        <v>3332</v>
      </c>
      <c r="N3">
        <f t="shared" ref="N3:N13" si="2">H3-K3</f>
        <v>-6531</v>
      </c>
      <c r="O3">
        <f t="shared" ref="O3:O13" si="3">K3/H3</f>
        <v>6.2415730337078648</v>
      </c>
      <c r="P3">
        <v>547</v>
      </c>
      <c r="Q3">
        <f t="shared" ref="Q3:Q13" si="4">R3+S3</f>
        <v>377</v>
      </c>
      <c r="R3">
        <v>344</v>
      </c>
      <c r="S3">
        <v>33</v>
      </c>
      <c r="T3">
        <f t="shared" ref="T3:T13" si="5">U3+V3+W3+X3</f>
        <v>2888</v>
      </c>
      <c r="U3">
        <v>2222</v>
      </c>
      <c r="V3">
        <v>222</v>
      </c>
      <c r="W3">
        <v>222</v>
      </c>
      <c r="X3">
        <v>222</v>
      </c>
      <c r="Y3">
        <f t="shared" ref="Y3:Y13" si="6">Z3+AA3+AB3</f>
        <v>557</v>
      </c>
      <c r="Z3">
        <v>123</v>
      </c>
      <c r="AA3">
        <v>323</v>
      </c>
      <c r="AB3">
        <v>111</v>
      </c>
      <c r="AC3">
        <v>3333</v>
      </c>
      <c r="AD3">
        <v>1111</v>
      </c>
      <c r="AE3">
        <f t="shared" ref="AE3:AE13" si="7">H3-K3-P3-Q3-T3-Y3+AC3-AD3</f>
        <v>-8678</v>
      </c>
      <c r="AF3">
        <v>334</v>
      </c>
      <c r="AG3">
        <f t="shared" ref="AG3:AG13" si="8">AE3-AF3</f>
        <v>-9012</v>
      </c>
    </row>
    <row r="4" spans="1:33" x14ac:dyDescent="0.2">
      <c r="A4">
        <v>3</v>
      </c>
      <c r="B4">
        <v>3</v>
      </c>
      <c r="C4">
        <v>2019</v>
      </c>
      <c r="D4" s="3" t="s">
        <v>34</v>
      </c>
      <c r="E4">
        <v>20</v>
      </c>
      <c r="F4">
        <v>1000</v>
      </c>
      <c r="G4">
        <v>60000</v>
      </c>
      <c r="H4">
        <f t="shared" si="0"/>
        <v>1246</v>
      </c>
      <c r="I4">
        <v>123</v>
      </c>
      <c r="J4">
        <v>1123</v>
      </c>
      <c r="K4">
        <f t="shared" si="1"/>
        <v>7777</v>
      </c>
      <c r="L4">
        <v>4445</v>
      </c>
      <c r="M4">
        <v>3332</v>
      </c>
      <c r="N4">
        <f t="shared" si="2"/>
        <v>-6531</v>
      </c>
      <c r="O4">
        <f t="shared" si="3"/>
        <v>6.2415730337078648</v>
      </c>
      <c r="P4">
        <v>548</v>
      </c>
      <c r="Q4">
        <f t="shared" si="4"/>
        <v>377</v>
      </c>
      <c r="R4">
        <v>344</v>
      </c>
      <c r="S4">
        <v>33</v>
      </c>
      <c r="T4">
        <f t="shared" si="5"/>
        <v>2888</v>
      </c>
      <c r="U4">
        <v>2222</v>
      </c>
      <c r="V4">
        <v>222</v>
      </c>
      <c r="W4">
        <v>222</v>
      </c>
      <c r="X4">
        <v>222</v>
      </c>
      <c r="Y4">
        <f t="shared" si="6"/>
        <v>557</v>
      </c>
      <c r="Z4">
        <v>123</v>
      </c>
      <c r="AA4">
        <v>323</v>
      </c>
      <c r="AB4">
        <v>111</v>
      </c>
      <c r="AC4">
        <v>3333</v>
      </c>
      <c r="AD4">
        <v>1111</v>
      </c>
      <c r="AE4">
        <f t="shared" si="7"/>
        <v>-8679</v>
      </c>
      <c r="AF4">
        <v>335</v>
      </c>
      <c r="AG4">
        <f t="shared" si="8"/>
        <v>-9014</v>
      </c>
    </row>
    <row r="5" spans="1:33" x14ac:dyDescent="0.2">
      <c r="A5">
        <v>4</v>
      </c>
      <c r="B5">
        <v>3</v>
      </c>
      <c r="C5">
        <v>2019</v>
      </c>
      <c r="D5" s="3" t="s">
        <v>35</v>
      </c>
      <c r="E5">
        <v>20</v>
      </c>
      <c r="F5">
        <v>1000</v>
      </c>
      <c r="G5">
        <v>60000</v>
      </c>
      <c r="H5">
        <f t="shared" si="0"/>
        <v>1246</v>
      </c>
      <c r="I5">
        <v>123</v>
      </c>
      <c r="J5">
        <v>1123</v>
      </c>
      <c r="K5">
        <f t="shared" si="1"/>
        <v>7777</v>
      </c>
      <c r="L5">
        <v>4445</v>
      </c>
      <c r="M5">
        <v>3332</v>
      </c>
      <c r="N5">
        <f t="shared" si="2"/>
        <v>-6531</v>
      </c>
      <c r="O5">
        <f t="shared" si="3"/>
        <v>6.2415730337078648</v>
      </c>
      <c r="P5">
        <v>549</v>
      </c>
      <c r="Q5">
        <f t="shared" si="4"/>
        <v>377</v>
      </c>
      <c r="R5">
        <v>344</v>
      </c>
      <c r="S5">
        <v>33</v>
      </c>
      <c r="T5">
        <f t="shared" si="5"/>
        <v>2888</v>
      </c>
      <c r="U5">
        <v>2222</v>
      </c>
      <c r="V5">
        <v>222</v>
      </c>
      <c r="W5">
        <v>222</v>
      </c>
      <c r="X5">
        <v>222</v>
      </c>
      <c r="Y5">
        <f t="shared" si="6"/>
        <v>557</v>
      </c>
      <c r="Z5">
        <v>123</v>
      </c>
      <c r="AA5">
        <v>323</v>
      </c>
      <c r="AB5">
        <v>111</v>
      </c>
      <c r="AC5">
        <v>3333</v>
      </c>
      <c r="AD5">
        <v>1111</v>
      </c>
      <c r="AE5">
        <f t="shared" si="7"/>
        <v>-8680</v>
      </c>
      <c r="AF5">
        <v>336</v>
      </c>
      <c r="AG5">
        <f t="shared" si="8"/>
        <v>-9016</v>
      </c>
    </row>
    <row r="6" spans="1:33" x14ac:dyDescent="0.2">
      <c r="A6">
        <v>5</v>
      </c>
      <c r="B6">
        <v>3</v>
      </c>
      <c r="C6">
        <v>2019</v>
      </c>
      <c r="D6" s="3" t="s">
        <v>36</v>
      </c>
      <c r="E6">
        <v>20</v>
      </c>
      <c r="F6">
        <v>1000</v>
      </c>
      <c r="G6">
        <v>60000</v>
      </c>
      <c r="H6">
        <f t="shared" si="0"/>
        <v>1246</v>
      </c>
      <c r="I6">
        <v>123</v>
      </c>
      <c r="J6">
        <v>1123</v>
      </c>
      <c r="K6">
        <f t="shared" si="1"/>
        <v>7777</v>
      </c>
      <c r="L6">
        <v>4445</v>
      </c>
      <c r="M6">
        <v>3332</v>
      </c>
      <c r="N6">
        <f t="shared" si="2"/>
        <v>-6531</v>
      </c>
      <c r="O6">
        <f t="shared" si="3"/>
        <v>6.2415730337078648</v>
      </c>
      <c r="P6">
        <v>550</v>
      </c>
      <c r="Q6">
        <f t="shared" si="4"/>
        <v>377</v>
      </c>
      <c r="R6">
        <v>344</v>
      </c>
      <c r="S6">
        <v>33</v>
      </c>
      <c r="T6">
        <f t="shared" si="5"/>
        <v>2888</v>
      </c>
      <c r="U6">
        <v>2222</v>
      </c>
      <c r="V6">
        <v>222</v>
      </c>
      <c r="W6">
        <v>222</v>
      </c>
      <c r="X6">
        <v>222</v>
      </c>
      <c r="Y6">
        <f t="shared" si="6"/>
        <v>557</v>
      </c>
      <c r="Z6">
        <v>123</v>
      </c>
      <c r="AA6">
        <v>323</v>
      </c>
      <c r="AB6">
        <v>111</v>
      </c>
      <c r="AC6">
        <v>3333</v>
      </c>
      <c r="AD6">
        <v>1111</v>
      </c>
      <c r="AE6">
        <f t="shared" si="7"/>
        <v>-8681</v>
      </c>
      <c r="AF6">
        <v>337</v>
      </c>
      <c r="AG6">
        <f t="shared" si="8"/>
        <v>-9018</v>
      </c>
    </row>
    <row r="7" spans="1:33" x14ac:dyDescent="0.2">
      <c r="A7">
        <v>6</v>
      </c>
      <c r="B7">
        <v>3</v>
      </c>
      <c r="C7">
        <v>2019</v>
      </c>
      <c r="D7" s="3" t="s">
        <v>37</v>
      </c>
      <c r="E7">
        <v>20</v>
      </c>
      <c r="F7">
        <v>1000</v>
      </c>
      <c r="G7">
        <v>60000</v>
      </c>
      <c r="H7">
        <f t="shared" si="0"/>
        <v>1246</v>
      </c>
      <c r="I7">
        <v>123</v>
      </c>
      <c r="J7">
        <v>1123</v>
      </c>
      <c r="K7">
        <f t="shared" si="1"/>
        <v>7777</v>
      </c>
      <c r="L7">
        <v>4445</v>
      </c>
      <c r="M7">
        <v>3332</v>
      </c>
      <c r="N7">
        <f t="shared" si="2"/>
        <v>-6531</v>
      </c>
      <c r="O7">
        <f t="shared" si="3"/>
        <v>6.2415730337078648</v>
      </c>
      <c r="P7">
        <v>551</v>
      </c>
      <c r="Q7">
        <f t="shared" si="4"/>
        <v>377</v>
      </c>
      <c r="R7">
        <v>344</v>
      </c>
      <c r="S7">
        <v>33</v>
      </c>
      <c r="T7">
        <f t="shared" si="5"/>
        <v>2888</v>
      </c>
      <c r="U7">
        <v>2222</v>
      </c>
      <c r="V7">
        <v>222</v>
      </c>
      <c r="W7">
        <v>222</v>
      </c>
      <c r="X7">
        <v>222</v>
      </c>
      <c r="Y7">
        <f t="shared" si="6"/>
        <v>557</v>
      </c>
      <c r="Z7">
        <v>123</v>
      </c>
      <c r="AA7">
        <v>323</v>
      </c>
      <c r="AB7">
        <v>111</v>
      </c>
      <c r="AC7">
        <v>3333</v>
      </c>
      <c r="AD7">
        <v>1111</v>
      </c>
      <c r="AE7">
        <f t="shared" si="7"/>
        <v>-8682</v>
      </c>
      <c r="AF7">
        <v>338</v>
      </c>
      <c r="AG7">
        <f t="shared" si="8"/>
        <v>-9020</v>
      </c>
    </row>
    <row r="8" spans="1:33" x14ac:dyDescent="0.2">
      <c r="A8">
        <v>7</v>
      </c>
      <c r="B8">
        <v>3</v>
      </c>
      <c r="C8">
        <v>2019</v>
      </c>
      <c r="D8" s="3" t="s">
        <v>38</v>
      </c>
      <c r="E8">
        <v>20</v>
      </c>
      <c r="F8">
        <v>1000</v>
      </c>
      <c r="G8">
        <v>60000</v>
      </c>
      <c r="H8">
        <f t="shared" si="0"/>
        <v>1246</v>
      </c>
      <c r="I8">
        <v>123</v>
      </c>
      <c r="J8">
        <v>1123</v>
      </c>
      <c r="K8">
        <f t="shared" si="1"/>
        <v>7777</v>
      </c>
      <c r="L8">
        <v>4445</v>
      </c>
      <c r="M8">
        <v>3332</v>
      </c>
      <c r="N8">
        <f t="shared" si="2"/>
        <v>-6531</v>
      </c>
      <c r="O8">
        <f t="shared" si="3"/>
        <v>6.2415730337078648</v>
      </c>
      <c r="P8">
        <v>552</v>
      </c>
      <c r="Q8">
        <f t="shared" si="4"/>
        <v>377</v>
      </c>
      <c r="R8">
        <v>344</v>
      </c>
      <c r="S8">
        <v>33</v>
      </c>
      <c r="T8">
        <f t="shared" si="5"/>
        <v>2888</v>
      </c>
      <c r="U8">
        <v>2222</v>
      </c>
      <c r="V8">
        <v>222</v>
      </c>
      <c r="W8">
        <v>222</v>
      </c>
      <c r="X8">
        <v>222</v>
      </c>
      <c r="Y8">
        <f t="shared" si="6"/>
        <v>557</v>
      </c>
      <c r="Z8">
        <v>123</v>
      </c>
      <c r="AA8">
        <v>323</v>
      </c>
      <c r="AB8">
        <v>111</v>
      </c>
      <c r="AC8">
        <v>3333</v>
      </c>
      <c r="AD8">
        <v>1111</v>
      </c>
      <c r="AE8">
        <f t="shared" si="7"/>
        <v>-8683</v>
      </c>
      <c r="AF8">
        <v>339</v>
      </c>
      <c r="AG8">
        <f t="shared" si="8"/>
        <v>-9022</v>
      </c>
    </row>
    <row r="9" spans="1:33" x14ac:dyDescent="0.2">
      <c r="A9">
        <v>8</v>
      </c>
      <c r="B9">
        <v>3</v>
      </c>
      <c r="C9">
        <v>2019</v>
      </c>
      <c r="D9" s="3" t="s">
        <v>39</v>
      </c>
      <c r="E9">
        <v>20</v>
      </c>
      <c r="F9">
        <v>1000</v>
      </c>
      <c r="G9">
        <v>60000</v>
      </c>
      <c r="H9">
        <f t="shared" si="0"/>
        <v>1246</v>
      </c>
      <c r="I9">
        <v>123</v>
      </c>
      <c r="J9">
        <v>1123</v>
      </c>
      <c r="K9">
        <f t="shared" si="1"/>
        <v>7777</v>
      </c>
      <c r="L9">
        <v>4445</v>
      </c>
      <c r="M9">
        <v>3332</v>
      </c>
      <c r="N9">
        <f t="shared" si="2"/>
        <v>-6531</v>
      </c>
      <c r="O9">
        <f t="shared" si="3"/>
        <v>6.2415730337078648</v>
      </c>
      <c r="P9">
        <v>553</v>
      </c>
      <c r="Q9">
        <f t="shared" si="4"/>
        <v>377</v>
      </c>
      <c r="R9">
        <v>344</v>
      </c>
      <c r="S9">
        <v>33</v>
      </c>
      <c r="T9">
        <f t="shared" si="5"/>
        <v>2888</v>
      </c>
      <c r="U9">
        <v>2222</v>
      </c>
      <c r="V9">
        <v>222</v>
      </c>
      <c r="W9">
        <v>222</v>
      </c>
      <c r="X9">
        <v>222</v>
      </c>
      <c r="Y9">
        <f t="shared" si="6"/>
        <v>557</v>
      </c>
      <c r="Z9">
        <v>123</v>
      </c>
      <c r="AA9">
        <v>323</v>
      </c>
      <c r="AB9">
        <v>111</v>
      </c>
      <c r="AC9">
        <v>3333</v>
      </c>
      <c r="AD9">
        <v>1111</v>
      </c>
      <c r="AE9">
        <f t="shared" si="7"/>
        <v>-8684</v>
      </c>
      <c r="AF9">
        <v>340</v>
      </c>
      <c r="AG9">
        <f t="shared" si="8"/>
        <v>-9024</v>
      </c>
    </row>
    <row r="10" spans="1:33" x14ac:dyDescent="0.2">
      <c r="A10">
        <v>9</v>
      </c>
      <c r="B10">
        <v>3</v>
      </c>
      <c r="C10">
        <v>2019</v>
      </c>
      <c r="D10" s="3" t="s">
        <v>40</v>
      </c>
      <c r="E10">
        <v>20</v>
      </c>
      <c r="F10">
        <v>1000</v>
      </c>
      <c r="G10">
        <v>60000</v>
      </c>
      <c r="H10">
        <f t="shared" si="0"/>
        <v>1246</v>
      </c>
      <c r="I10">
        <v>123</v>
      </c>
      <c r="J10">
        <v>1123</v>
      </c>
      <c r="K10">
        <f t="shared" si="1"/>
        <v>7777</v>
      </c>
      <c r="L10">
        <v>4445</v>
      </c>
      <c r="M10">
        <v>3332</v>
      </c>
      <c r="N10">
        <f t="shared" si="2"/>
        <v>-6531</v>
      </c>
      <c r="O10">
        <f t="shared" si="3"/>
        <v>6.2415730337078648</v>
      </c>
      <c r="P10">
        <v>554</v>
      </c>
      <c r="Q10">
        <f t="shared" si="4"/>
        <v>377</v>
      </c>
      <c r="R10">
        <v>344</v>
      </c>
      <c r="S10">
        <v>33</v>
      </c>
      <c r="T10">
        <f t="shared" si="5"/>
        <v>2888</v>
      </c>
      <c r="U10">
        <v>2222</v>
      </c>
      <c r="V10">
        <v>222</v>
      </c>
      <c r="W10">
        <v>222</v>
      </c>
      <c r="X10">
        <v>222</v>
      </c>
      <c r="Y10">
        <f t="shared" si="6"/>
        <v>557</v>
      </c>
      <c r="Z10">
        <v>123</v>
      </c>
      <c r="AA10">
        <v>323</v>
      </c>
      <c r="AB10">
        <v>111</v>
      </c>
      <c r="AC10">
        <v>3333</v>
      </c>
      <c r="AD10">
        <v>1111</v>
      </c>
      <c r="AE10">
        <f t="shared" si="7"/>
        <v>-8685</v>
      </c>
      <c r="AF10">
        <v>341</v>
      </c>
      <c r="AG10">
        <f t="shared" si="8"/>
        <v>-9026</v>
      </c>
    </row>
    <row r="11" spans="1:33" x14ac:dyDescent="0.2">
      <c r="A11">
        <v>10</v>
      </c>
      <c r="B11">
        <v>3</v>
      </c>
      <c r="C11">
        <v>2019</v>
      </c>
      <c r="D11" s="3">
        <v>10</v>
      </c>
      <c r="E11">
        <v>20</v>
      </c>
      <c r="F11">
        <v>1000</v>
      </c>
      <c r="G11">
        <v>60000</v>
      </c>
      <c r="H11">
        <f t="shared" si="0"/>
        <v>1246</v>
      </c>
      <c r="I11">
        <v>123</v>
      </c>
      <c r="J11">
        <v>1123</v>
      </c>
      <c r="K11">
        <f t="shared" si="1"/>
        <v>7777</v>
      </c>
      <c r="L11">
        <v>4445</v>
      </c>
      <c r="M11">
        <v>3332</v>
      </c>
      <c r="N11">
        <f t="shared" si="2"/>
        <v>-6531</v>
      </c>
      <c r="O11">
        <f t="shared" si="3"/>
        <v>6.2415730337078648</v>
      </c>
      <c r="P11">
        <v>555</v>
      </c>
      <c r="Q11">
        <f t="shared" si="4"/>
        <v>377</v>
      </c>
      <c r="R11">
        <v>344</v>
      </c>
      <c r="S11">
        <v>33</v>
      </c>
      <c r="T11">
        <f t="shared" si="5"/>
        <v>2888</v>
      </c>
      <c r="U11">
        <v>2222</v>
      </c>
      <c r="V11">
        <v>222</v>
      </c>
      <c r="W11">
        <v>222</v>
      </c>
      <c r="X11">
        <v>222</v>
      </c>
      <c r="Y11">
        <f t="shared" si="6"/>
        <v>557</v>
      </c>
      <c r="Z11">
        <v>123</v>
      </c>
      <c r="AA11">
        <v>323</v>
      </c>
      <c r="AB11">
        <v>111</v>
      </c>
      <c r="AC11">
        <v>3333</v>
      </c>
      <c r="AD11">
        <v>1111</v>
      </c>
      <c r="AE11">
        <f t="shared" si="7"/>
        <v>-8686</v>
      </c>
      <c r="AF11">
        <v>342</v>
      </c>
      <c r="AG11">
        <f t="shared" si="8"/>
        <v>-9028</v>
      </c>
    </row>
    <row r="12" spans="1:33" x14ac:dyDescent="0.2">
      <c r="A12">
        <v>11</v>
      </c>
      <c r="B12">
        <v>3</v>
      </c>
      <c r="C12">
        <v>2019</v>
      </c>
      <c r="D12" s="3">
        <v>11</v>
      </c>
      <c r="E12">
        <v>20</v>
      </c>
      <c r="F12">
        <v>1000</v>
      </c>
      <c r="G12">
        <v>60000</v>
      </c>
      <c r="H12">
        <f t="shared" si="0"/>
        <v>1246</v>
      </c>
      <c r="I12">
        <v>123</v>
      </c>
      <c r="J12">
        <v>1123</v>
      </c>
      <c r="K12">
        <f t="shared" si="1"/>
        <v>7777</v>
      </c>
      <c r="L12">
        <v>4445</v>
      </c>
      <c r="M12">
        <v>3332</v>
      </c>
      <c r="N12">
        <f t="shared" si="2"/>
        <v>-6531</v>
      </c>
      <c r="O12">
        <f t="shared" si="3"/>
        <v>6.2415730337078648</v>
      </c>
      <c r="P12">
        <v>556</v>
      </c>
      <c r="Q12">
        <f t="shared" si="4"/>
        <v>377</v>
      </c>
      <c r="R12">
        <v>344</v>
      </c>
      <c r="S12">
        <v>33</v>
      </c>
      <c r="T12">
        <f t="shared" si="5"/>
        <v>2888</v>
      </c>
      <c r="U12">
        <v>2222</v>
      </c>
      <c r="V12">
        <v>222</v>
      </c>
      <c r="W12">
        <v>222</v>
      </c>
      <c r="X12">
        <v>222</v>
      </c>
      <c r="Y12">
        <f t="shared" si="6"/>
        <v>557</v>
      </c>
      <c r="Z12">
        <v>123</v>
      </c>
      <c r="AA12">
        <v>323</v>
      </c>
      <c r="AB12">
        <v>111</v>
      </c>
      <c r="AC12">
        <v>3333</v>
      </c>
      <c r="AD12">
        <v>1111</v>
      </c>
      <c r="AE12">
        <f t="shared" si="7"/>
        <v>-8687</v>
      </c>
      <c r="AF12">
        <v>343</v>
      </c>
      <c r="AG12">
        <f t="shared" si="8"/>
        <v>-9030</v>
      </c>
    </row>
    <row r="13" spans="1:33" x14ac:dyDescent="0.2">
      <c r="A13">
        <v>12</v>
      </c>
      <c r="B13">
        <v>3</v>
      </c>
      <c r="C13">
        <v>2019</v>
      </c>
      <c r="D13" s="3">
        <v>12</v>
      </c>
      <c r="E13">
        <v>20</v>
      </c>
      <c r="F13">
        <v>1000</v>
      </c>
      <c r="G13">
        <v>60000</v>
      </c>
      <c r="H13">
        <f t="shared" si="0"/>
        <v>1246</v>
      </c>
      <c r="I13">
        <v>123</v>
      </c>
      <c r="J13">
        <v>1123</v>
      </c>
      <c r="K13">
        <f t="shared" si="1"/>
        <v>7777</v>
      </c>
      <c r="L13">
        <v>4445</v>
      </c>
      <c r="M13">
        <v>3332</v>
      </c>
      <c r="N13">
        <f t="shared" si="2"/>
        <v>-6531</v>
      </c>
      <c r="O13">
        <f t="shared" si="3"/>
        <v>6.2415730337078648</v>
      </c>
      <c r="P13">
        <v>557</v>
      </c>
      <c r="Q13">
        <f t="shared" si="4"/>
        <v>377</v>
      </c>
      <c r="R13">
        <v>344</v>
      </c>
      <c r="S13">
        <v>33</v>
      </c>
      <c r="T13">
        <f t="shared" si="5"/>
        <v>2888</v>
      </c>
      <c r="U13">
        <v>2222</v>
      </c>
      <c r="V13">
        <v>222</v>
      </c>
      <c r="W13">
        <v>222</v>
      </c>
      <c r="X13">
        <v>222</v>
      </c>
      <c r="Y13">
        <f t="shared" si="6"/>
        <v>557</v>
      </c>
      <c r="Z13">
        <v>123</v>
      </c>
      <c r="AA13">
        <v>323</v>
      </c>
      <c r="AB13">
        <v>111</v>
      </c>
      <c r="AC13">
        <v>3333</v>
      </c>
      <c r="AD13">
        <v>1111</v>
      </c>
      <c r="AE13">
        <f t="shared" si="7"/>
        <v>-8688</v>
      </c>
      <c r="AF13">
        <v>344</v>
      </c>
      <c r="AG13">
        <f t="shared" si="8"/>
        <v>-9032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jiye</dc:creator>
  <cp:lastModifiedBy>jiye</cp:lastModifiedBy>
  <dcterms:created xsi:type="dcterms:W3CDTF">2019-10-08T05:01:58Z</dcterms:created>
  <dcterms:modified xsi:type="dcterms:W3CDTF">2019-10-08T07:26:17Z</dcterms:modified>
</cp:coreProperties>
</file>